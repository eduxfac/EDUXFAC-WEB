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o físico" state="visible" r:id="rId4"/>
    <sheet sheetId="2" name="Información" state="visible" r:id="rId5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t>Única columna editable. Vacío = omitir; 0 = sin existencias. Unidades base; hasta 3 decimales.</t>
        </r>
      </text>
    </comment>
    <comment ref="J2" authorId="0">
      <text>
        <r>
          <t>Costo ponderado: valor actual de lotes / stock actual. Importes estimados; ajustes usan costos de sus lotes.</t>
        </r>
      </text>
    </comment>
    <comment ref="E3" authorId="0">
      <text>
        <r>
          <t>Única columna editable. Vacío = omitir; 0 = sin existencias. Unidades base; hasta 3 decimales.</t>
        </r>
      </text>
    </comment>
    <comment ref="J3" authorId="0">
      <text>
        <r>
          <t>Costo ponderado: valor actual de lotes / stock actual. Importes estimados; ajustes usan costos de sus lotes.</t>
        </r>
      </text>
    </comment>
    <comment ref="E4" authorId="0">
      <text>
        <r>
          <t>Única columna editable. Vacío = omitir; 0 = sin existencias. Unidades base; hasta 3 decimales.</t>
        </r>
      </text>
    </comment>
    <comment ref="J4" authorId="0">
      <text>
        <r>
          <t>Costo ponderado: valor actual de lotes / stock actual. Importes estimados; ajustes usan costos de sus lotes.</t>
        </r>
      </text>
    </comment>
    <comment ref="E5" authorId="0">
      <text>
        <r>
          <t>Única columna editable. Vacío = omitir; 0 = sin existencias. Unidades base; hasta 3 decimales.</t>
        </r>
      </text>
    </comment>
    <comment ref="J5" authorId="0">
      <text>
        <r>
          <t>Costo ponderado: valor actual de lotes / stock actual. Importes estimados; ajustes usan costos de sus lotes.</t>
        </r>
      </text>
    </comment>
    <comment ref="E6" authorId="0">
      <text>
        <r>
          <t>Única columna editable. Vacío = omitir; 0 = sin existencias. Unidades base; hasta 3 decimales.</t>
        </r>
      </text>
    </comment>
    <comment ref="J6" authorId="0">
      <text>
        <r>
          <t>Costo ponderado: valor actual de lotes / stock actual. Importes estimados; ajustes usan costos de sus lotes.</t>
        </r>
      </text>
    </comment>
    <comment ref="E7" authorId="0">
      <text>
        <r>
          <t>Única columna editable. Vacío = omitir; 0 = sin existencias. Unidades base; hasta 3 decimales.</t>
        </r>
      </text>
    </comment>
    <comment ref="J7" authorId="0">
      <text>
        <r>
          <t>Costo ponderado: valor actual de lotes / stock actual. Importes estimados; ajustes usan costos de sus lotes.</t>
        </r>
      </text>
    </comment>
    <comment ref="E8" authorId="0">
      <text>
        <r>
          <t>Única columna editable. Vacío = omitir; 0 = sin existencias. Unidades base; hasta 3 decimales.</t>
        </r>
      </text>
    </comment>
    <comment ref="J8" authorId="0">
      <text>
        <r>
          <t>Sin costo verificable; importación no toma costos del Excel.</t>
        </r>
      </text>
    </comment>
    <comment ref="K8" authorId="0">
      <text>
        <r>
          <t>Sin precio de venta vigente para esta sucursal. No se importa ni modifica.</t>
        </r>
      </text>
    </comment>
    <comment ref="E9" authorId="0">
      <text>
        <r>
          <t>Única columna editable. Vacío = omitir; 0 = sin existencias. Unidades base; hasta 3 decimales.</t>
        </r>
      </text>
    </comment>
    <comment ref="J9" authorId="0">
      <text>
        <r>
          <t>Sin costo verificable; importación no toma costos del Excel.</t>
        </r>
      </text>
    </comment>
    <comment ref="K9" authorId="0">
      <text>
        <r>
          <t>Sin precio de venta vigente para esta sucursal. No se importa ni modifica.</t>
        </r>
      </text>
    </comment>
    <comment ref="E10" authorId="0">
      <text>
        <r>
          <t>Única columna editable. Vacío = omitir; 0 = sin existencias. Unidades base; hasta 3 decimales.</t>
        </r>
      </text>
    </comment>
    <comment ref="J10" authorId="0">
      <text>
        <r>
          <t>Sin stock positivo: costo verificable del lote que recibiría un sobrante según la regla vigente.</t>
        </r>
      </text>
    </comment>
    <comment ref="E11" authorId="0">
      <text>
        <r>
          <t>Única columna editable. Vacío = omitir; 0 = sin existencias. Unidades base; hasta 3 decimales.</t>
        </r>
      </text>
    </comment>
    <comment ref="J11" authorId="0">
      <text>
        <r>
          <t>Costo ponderado: valor actual de lotes / stock actual. Importes estimados; ajustes usan costos de sus lotes.</t>
        </r>
      </text>
    </comment>
  </commentList>
</comments>
</file>

<file path=xl/sharedStrings.xml><?xml version="1.0" encoding="utf-8"?>
<sst xmlns="http://schemas.openxmlformats.org/spreadsheetml/2006/main" count="67" uniqueCount="57">
  <si>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</si>
  <si>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</si>
  <si>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</si>
  <si>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</si>
  <si>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</si>
  <si>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</si>
  <si>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</si>
  <si>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</si>
  <si>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</si>
  <si>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</si>
  <si>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</si>
  <si>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</si>
  <si>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COUNT-DECIMAL</t>
  </si>
  <si>
    <t>COUNT-EQUAL</t>
  </si>
  <si>
    <t>COUNT-FREE</t>
  </si>
  <si>
    <t>COUNT-GENERAL</t>
  </si>
  <si>
    <t>COUNT-LESS</t>
  </si>
  <si>
    <t>COUNT-MORE</t>
  </si>
  <si>
    <t>COUNT-NONE</t>
  </si>
  <si>
    <t>COUNT-UNKNOWN</t>
  </si>
  <si>
    <t>COUNT-ZERO</t>
  </si>
  <si>
    <t>P-A</t>
  </si>
  <si>
    <t>Producto exclusivo A</t>
  </si>
  <si>
    <t>Formato</t>
  </si>
  <si>
    <t>EDUXFAC_CONTEO_V1</t>
  </si>
  <si>
    <t>Sucursal ID</t>
  </si>
  <si>
    <t>5cf30f08-c06e-4eaa-899f-7dc22a66f283</t>
  </si>
  <si>
    <t>Sucursal</t>
  </si>
  <si>
    <t>Sucursal A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</si>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</sst>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 #,##0.00"/>
    <numFmt numFmtId="166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6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  <fill>
      <patternFill patternType="solid">
        <fgColor rgb="FF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6" fontId="0" fillId="5" borderId="0" xfId="0" applyNumberForma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9C5700"/>
      </font>
      <fill>
        <patternFill patternType="solid">
          <bgColor rgb="FFFFE4CC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 zoomScale="100" zoomScaleNormal="10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ht="32" customHeight="1" spans="1:12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B2" s="1"/>
      <c r="C2" t="s">
        <v>12</v>
      </c>
      <c r="D2" s="2">
        <v>100</v>
      </c>
      <c r="E2" s="11">
        <v>95.125</v>
      </c>
      <c r="F2" s="2">
        <f>IF(E2="","",ROUND(MAX(D2-E2,0),3))</f>
      </c>
      <c r="G2" s="2">
        <f>IF(E2="","",ROUND(MAX(E2-D2,0),3))</f>
      </c>
      <c r="H2" s="3">
        <f>IF(OR(E2="",NOT(ISNUMBER(J2))),"",ROUND(F2*J2,2))</f>
      </c>
      <c r="I2" s="3">
        <f>IF(OR(E2="",NOT(ISNUMBER(J2))),"",ROUND(G2*J2,2))</f>
      </c>
      <c r="J2" s="4">
        <v>1.2345</v>
      </c>
      <c r="K2" s="3">
        <v>2.3</v>
      </c>
      <c r="L2" s="3">
        <f>IF(OR(E2="",NOT(ISNUMBER(J2))),"",ROUND(E2*J2,2))</f>
      </c>
    </row>
    <row r="3" spans="1:12" x14ac:dyDescent="0.25">
      <c r="A3" s="1" t="s">
        <v>13</v>
      </c>
      <c r="B3" s="1"/>
      <c r="C3" t="s">
        <v>13</v>
      </c>
      <c r="D3" s="2">
        <v>100</v>
      </c>
      <c r="E3" s="11">
        <v>100</v>
      </c>
      <c r="F3" s="2">
        <f>IF(E3="","",ROUND(MAX(D3-E3,0),3))</f>
      </c>
      <c r="G3" s="2">
        <f>IF(E3="","",ROUND(MAX(E3-D3,0),3))</f>
      </c>
      <c r="H3" s="3">
        <f>IF(OR(E3="",NOT(ISNUMBER(J3))),"",ROUND(F3*J3,2))</f>
      </c>
      <c r="I3" s="3">
        <f>IF(OR(E3="",NOT(ISNUMBER(J3))),"",ROUND(G3*J3,2))</f>
      </c>
      <c r="J3" s="4">
        <v>1</v>
      </c>
      <c r="K3" s="3">
        <v>2.3</v>
      </c>
      <c r="L3" s="3">
        <f>IF(OR(E3="",NOT(ISNUMBER(J3))),"",ROUND(E3*J3,2))</f>
      </c>
    </row>
    <row r="4" spans="1:12" x14ac:dyDescent="0.25">
      <c r="A4" s="1" t="s">
        <v>14</v>
      </c>
      <c r="B4" s="1"/>
      <c r="C4" t="s">
        <v>14</v>
      </c>
      <c r="D4" s="2">
        <v>10</v>
      </c>
      <c r="E4" s="11"/>
      <c r="F4" s="2">
        <f>IF(E4="","",ROUND(MAX(D4-E4,0),3))</f>
      </c>
      <c r="G4" s="2">
        <f>IF(E4="","",ROUND(MAX(E4-D4,0),3))</f>
      </c>
      <c r="H4" s="3">
        <f>IF(OR(E4="",NOT(ISNUMBER(J4))),"",ROUND(F4*J4,2))</f>
      </c>
      <c r="I4" s="3">
        <f>IF(OR(E4="",NOT(ISNUMBER(J4))),"",ROUND(G4*J4,2))</f>
      </c>
      <c r="J4" s="4">
        <v>0</v>
      </c>
      <c r="K4" s="3">
        <v>2.3</v>
      </c>
      <c r="L4" s="3">
        <f>IF(OR(E4="",NOT(ISNUMBER(J4))),"",ROUND(E4*J4,2))</f>
      </c>
    </row>
    <row r="5" spans="1:12" x14ac:dyDescent="0.25">
      <c r="A5" s="1" t="s">
        <v>15</v>
      </c>
      <c r="B5" s="1"/>
      <c r="C5" t="s">
        <v>15</v>
      </c>
      <c r="D5" s="2">
        <v>10</v>
      </c>
      <c r="E5" s="11"/>
      <c r="F5" s="2">
        <f>IF(E5="","",ROUND(MAX(D5-E5,0),3))</f>
      </c>
      <c r="G5" s="2">
        <f>IF(E5="","",ROUND(MAX(E5-D5,0),3))</f>
      </c>
      <c r="H5" s="3">
        <f>IF(OR(E5="",NOT(ISNUMBER(J5))),"",ROUND(F5*J5,2))</f>
      </c>
      <c r="I5" s="3">
        <f>IF(OR(E5="",NOT(ISNUMBER(J5))),"",ROUND(G5*J5,2))</f>
      </c>
      <c r="J5" s="4">
        <v>3</v>
      </c>
      <c r="K5" s="3">
        <v>4</v>
      </c>
      <c r="L5" s="3">
        <f>IF(OR(E5="",NOT(ISNUMBER(J5))),"",ROUND(E5*J5,2))</f>
      </c>
    </row>
    <row r="6" spans="1:12" x14ac:dyDescent="0.25">
      <c r="A6" s="1" t="s">
        <v>16</v>
      </c>
      <c r="B6" s="1"/>
      <c r="C6" t="s">
        <v>16</v>
      </c>
      <c r="D6" s="2">
        <v>100</v>
      </c>
      <c r="E6" s="11">
        <v>95</v>
      </c>
      <c r="F6" s="2">
        <f>IF(E6="","",ROUND(MAX(D6-E6,0),3))</f>
      </c>
      <c r="G6" s="2">
        <f>IF(E6="","",ROUND(MAX(E6-D6,0),3))</f>
      </c>
      <c r="H6" s="3">
        <f>IF(OR(E6="",NOT(ISNUMBER(J6))),"",ROUND(F6*J6,2))</f>
      </c>
      <c r="I6" s="3">
        <f>IF(OR(E6="",NOT(ISNUMBER(J6))),"",ROUND(G6*J6,2))</f>
      </c>
      <c r="J6" s="4">
        <v>1.57</v>
      </c>
      <c r="K6" s="3">
        <v>2.3</v>
      </c>
      <c r="L6" s="3">
        <f>IF(OR(E6="",NOT(ISNUMBER(J6))),"",ROUND(E6*J6,2))</f>
      </c>
    </row>
    <row r="7" spans="1:12" x14ac:dyDescent="0.25">
      <c r="A7" s="1" t="s">
        <v>17</v>
      </c>
      <c r="B7" s="1"/>
      <c r="C7" t="s">
        <v>17</v>
      </c>
      <c r="D7" s="2">
        <v>100</v>
      </c>
      <c r="E7" s="11">
        <v>105</v>
      </c>
      <c r="F7" s="2">
        <f>IF(E7="","",ROUND(MAX(D7-E7,0),3))</f>
      </c>
      <c r="G7" s="2">
        <f>IF(E7="","",ROUND(MAX(E7-D7,0),3))</f>
      </c>
      <c r="H7" s="3">
        <f>IF(OR(E7="",NOT(ISNUMBER(J7))),"",ROUND(F7*J7,2))</f>
      </c>
      <c r="I7" s="3">
        <f>IF(OR(E7="",NOT(ISNUMBER(J7))),"",ROUND(G7*J7,2))</f>
      </c>
      <c r="J7" s="4">
        <v>2</v>
      </c>
      <c r="K7" s="3">
        <v>2.3</v>
      </c>
      <c r="L7" s="3">
        <f>IF(OR(E7="",NOT(ISNUMBER(J7))),"",ROUND(E7*J7,2))</f>
      </c>
    </row>
    <row r="8" spans="1:12" x14ac:dyDescent="0.25">
      <c r="A8" s="1" t="s">
        <v>18</v>
      </c>
      <c r="B8" s="1"/>
      <c r="C8" t="s">
        <v>18</v>
      </c>
      <c r="D8" s="2">
        <v>0</v>
      </c>
      <c r="E8" s="11"/>
      <c r="F8" s="2">
        <f>IF(E8="","",ROUND(MAX(D8-E8,0),3))</f>
      </c>
      <c r="G8" s="2">
        <f>IF(E8="","",ROUND(MAX(E8-D8,0),3))</f>
      </c>
      <c r="H8" s="3">
        <f>IF(OR(E8="",NOT(ISNUMBER(J8))),"",ROUND(F8*J8,2))</f>
      </c>
      <c r="I8" s="3">
        <f>IF(OR(E8="",NOT(ISNUMBER(J8))),"",ROUND(G8*J8,2))</f>
      </c>
      <c r="J8" s="12"/>
      <c r="K8" s="3"/>
      <c r="L8" s="3">
        <f>IF(OR(E8="",NOT(ISNUMBER(J8))),"",ROUND(E8*J8,2))</f>
      </c>
    </row>
    <row r="9" spans="1:12" x14ac:dyDescent="0.25">
      <c r="A9" s="1" t="s">
        <v>19</v>
      </c>
      <c r="B9" s="1"/>
      <c r="C9" t="s">
        <v>19</v>
      </c>
      <c r="D9" s="2">
        <v>10</v>
      </c>
      <c r="E9" s="11">
        <v>15</v>
      </c>
      <c r="F9" s="2">
        <f>IF(E9="","",ROUND(MAX(D9-E9,0),3))</f>
      </c>
      <c r="G9" s="2">
        <f>IF(E9="","",ROUND(MAX(E9-D9,0),3))</f>
      </c>
      <c r="H9" s="3">
        <f>IF(OR(E9="",NOT(ISNUMBER(J9))),"",ROUND(F9*J9,2))</f>
      </c>
      <c r="I9" s="3">
        <f>IF(OR(E9="",NOT(ISNUMBER(J9))),"",ROUND(G9*J9,2))</f>
      </c>
      <c r="J9" s="12"/>
      <c r="K9" s="3"/>
      <c r="L9" s="3">
        <f>IF(OR(E9="",NOT(ISNUMBER(J9))),"",ROUND(E9*J9,2))</f>
      </c>
    </row>
    <row r="10" spans="1:12" x14ac:dyDescent="0.25">
      <c r="A10" s="1" t="s">
        <v>20</v>
      </c>
      <c r="B10" s="1"/>
      <c r="C10" t="s">
        <v>20</v>
      </c>
      <c r="D10" s="2">
        <v>0</v>
      </c>
      <c r="E10" s="11"/>
      <c r="F10" s="2">
        <f>IF(E10="","",ROUND(MAX(D10-E10,0),3))</f>
      </c>
      <c r="G10" s="2">
        <f>IF(E10="","",ROUND(MAX(E10-D10,0),3))</f>
      </c>
      <c r="H10" s="3">
        <f>IF(OR(E10="",NOT(ISNUMBER(J10))),"",ROUND(F10*J10,2))</f>
      </c>
      <c r="I10" s="3">
        <f>IF(OR(E10="",NOT(ISNUMBER(J10))),"",ROUND(G10*J10,2))</f>
      </c>
      <c r="J10" s="4">
        <v>3.2</v>
      </c>
      <c r="K10" s="3">
        <v>2.3</v>
      </c>
      <c r="L10" s="3">
        <f>IF(OR(E10="",NOT(ISNUMBER(J10))),"",ROUND(E10*J10,2))</f>
      </c>
    </row>
    <row r="11" spans="1:12" x14ac:dyDescent="0.25">
      <c r="A11" s="1" t="s">
        <v>21</v>
      </c>
      <c r="B11" s="1"/>
      <c r="C11" t="s">
        <v>22</v>
      </c>
      <c r="D11" s="2">
        <v>100</v>
      </c>
      <c r="E11" s="11">
        <v>95</v>
      </c>
      <c r="F11" s="2">
        <f>IF(E11="","",ROUND(MAX(D11-E11,0),3))</f>
      </c>
      <c r="G11" s="2">
        <f>IF(E11="","",ROUND(MAX(E11-D11,0),3))</f>
      </c>
      <c r="H11" s="3">
        <f>IF(OR(E11="",NOT(ISNUMBER(J11))),"",ROUND(F11*J11,2))</f>
      </c>
      <c r="I11" s="3">
        <f>IF(OR(E11="",NOT(ISNUMBER(J11))),"",ROUND(G11*J11,2))</f>
      </c>
      <c r="J11" s="4">
        <v>1.61</v>
      </c>
      <c r="K11" s="3">
        <v>2</v>
      </c>
      <c r="L11" s="3">
        <f>IF(OR(E11="",NOT(ISNUMBER(J11))),"",ROUND(E11*J11,2))</f>
      </c>
    </row>
  </sheetData>
  <sheetProtection sheet="1" autoFilter="0" algorithmName="SHA-512" hashValue="1ASpVCT40CQLQ/+f75hVroc+vH86Tgmqmybf5nnx2O0uo1JrWAlxnJG5lJC5T+hXLrn12qV43W7D5qAQRWIG3A==" saltValue="CIJg1NROHtVyUiiqmI/z8Q==" spinCount="100000"/>
  <autoFilter ref="A1:L1"/>
  <conditionalFormatting sqref="F2:F11">
    <cfRule type="cellIs" dxfId="0" priority="1" operator="greaterThan">
      <formula>0</formula>
    </cfRule>
  </conditionalFormatting>
  <conditionalFormatting sqref="G2:G11">
    <cfRule type="cellIs" dxfId="1" priority="2" operator="greaterThan">
      <formula>0</formula>
    </cfRule>
  </conditionalFormatting>
  <dataValidations count="2">
    <dataValidation type="decimal" operator="greaterThanOrEqual" allowBlank="1" showErrorMessage="1" errorTitle="Stock físico" error="Ingrese una cantidad mayor o igual a cero (hasta 3 decimales)." sqref="E10:E11">
      <formula1>0</formula1>
    </dataValidation>
    <dataValidation type="decimal" operator="greaterThanOrEqual" allowBlank="1" showErrorMessage="1" errorTitle="Stock físico" error="Ingrese una cantidad mayor o igual a cero (hasta 3 decimales)." sqref="E2:E1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5" customWidth="1"/>
    <col min="2" max="2" width="115" style="13" customWidth="1"/>
  </cols>
  <sheetData>
    <row r="1" spans="1:2" x14ac:dyDescent="0.25">
      <c r="A1" t="s">
        <v>23</v>
      </c>
      <c r="B1" s="13" t="s">
        <v>24</v>
      </c>
    </row>
    <row r="2" spans="1:2" x14ac:dyDescent="0.25">
      <c r="A2" t="s">
        <v>25</v>
      </c>
      <c r="B2" s="13" t="s">
        <v>26</v>
      </c>
    </row>
    <row r="3" spans="1:2" x14ac:dyDescent="0.25">
      <c r="A3" t="s">
        <v>27</v>
      </c>
      <c r="B3" s="13" t="s">
        <v>28</v>
      </c>
    </row>
    <row r="4" spans="1:2" x14ac:dyDescent="0.25">
      <c r="A4" t="s">
        <v>29</v>
      </c>
      <c r="B4" s="14">
        <v>46309.9292350926</v>
      </c>
    </row>
    <row r="5" ht="32" customHeight="1" spans="1:2" x14ac:dyDescent="0.25">
      <c r="A5" t="s">
        <v>30</v>
      </c>
      <c r="B5" s="13" t="s">
        <v>31</v>
      </c>
    </row>
    <row r="6" ht="32" customHeight="1" spans="1:2" x14ac:dyDescent="0.25">
      <c r="A6" t="s">
        <v>32</v>
      </c>
      <c r="B6" s="13" t="s">
        <v>33</v>
      </c>
    </row>
    <row r="7" ht="32" customHeight="1" spans="1:2" x14ac:dyDescent="0.25">
      <c r="A7" t="s">
        <v>34</v>
      </c>
      <c r="B7" s="13" t="s">
        <v>35</v>
      </c>
    </row>
    <row r="8" ht="32" customHeight="1" spans="1:2" x14ac:dyDescent="0.25">
      <c r="A8" t="s">
        <v>36</v>
      </c>
      <c r="B8" s="13" t="s">
        <v>37</v>
      </c>
    </row>
    <row r="9" ht="32" customHeight="1" spans="1:2" x14ac:dyDescent="0.25">
      <c r="A9" t="s">
        <v>38</v>
      </c>
      <c r="B9" s="13" t="s">
        <v>39</v>
      </c>
    </row>
    <row r="10" ht="32" customHeight="1" spans="1:2" x14ac:dyDescent="0.25">
      <c r="A10" t="s">
        <v>40</v>
      </c>
      <c r="B10" s="13" t="s">
        <v>41</v>
      </c>
    </row>
    <row r="11" ht="32" customHeight="1" spans="1:2" x14ac:dyDescent="0.25">
      <c r="A11" t="s">
        <v>42</v>
      </c>
      <c r="B11" s="13" t="s">
        <v>43</v>
      </c>
    </row>
    <row r="12" ht="32" customHeight="1" spans="1:2" x14ac:dyDescent="0.25">
      <c r="A12" t="s">
        <v>44</v>
      </c>
      <c r="B12" s="13" t="s">
        <v>45</v>
      </c>
    </row>
    <row r="13" ht="32" customHeight="1" spans="1:2" x14ac:dyDescent="0.25">
      <c r="A13" t="s">
        <v>46</v>
      </c>
      <c r="B13" s="13" t="s">
        <v>47</v>
      </c>
    </row>
    <row r="14" ht="32" customHeight="1" spans="1:2" x14ac:dyDescent="0.25">
      <c r="A14" t="s">
        <v>48</v>
      </c>
      <c r="B14" s="13" t="s">
        <v>49</v>
      </c>
    </row>
    <row r="15" ht="32" customHeight="1" spans="1:2" x14ac:dyDescent="0.25">
      <c r="A15" t="s">
        <v>50</v>
      </c>
      <c r="B15" s="13" t="s">
        <v>51</v>
      </c>
    </row>
    <row r="16" ht="32" customHeight="1" spans="1:2" x14ac:dyDescent="0.25">
      <c r="A16" t="s">
        <v>52</v>
      </c>
      <c r="B16" s="13" t="s">
        <v>53</v>
      </c>
    </row>
    <row r="17" ht="32" customHeight="1" spans="1:2" x14ac:dyDescent="0.25">
      <c r="A17" t="s">
        <v>10</v>
      </c>
      <c r="B17" s="13" t="s">
        <v>54</v>
      </c>
    </row>
    <row r="18" ht="32" customHeight="1" spans="1:2" x14ac:dyDescent="0.25">
      <c r="A18" t="s">
        <v>55</v>
      </c>
      <c r="B18" s="1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2026-10-14T22:18:05Z</dcterms:created>
  <dcterms:modified xsi:type="dcterms:W3CDTF">2026-10-14T22:18:05Z</dcterms:modified>
</cp:coreProperties>
</file>