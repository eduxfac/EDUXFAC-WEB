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o físico" state="visible" r:id="rId4"/>
    <sheet sheetId="2" name="Información" state="visible" r:id="rId5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E2" authorId="0">
      <text>
        <r>
          <t>Única columna editable. Vacío = omitir; 0 = sin existencias. Unidades base; hasta 3 decimales.</t>
        </r>
      </text>
    </comment>
    <comment ref="J2" authorId="0">
      <text>
        <r>
          <t>Costo ponderado: valor actual de lotes / stock actual. Importes estimados; ajustes usan costos de sus lotes.</t>
        </r>
      </text>
    </comment>
    <comment ref="E3" authorId="0">
      <text>
        <r>
          <t>Única columna editable. Vacío = omitir; 0 = sin existencias. Unidades base; hasta 3 decimales.</t>
        </r>
      </text>
    </comment>
    <comment ref="J3" authorId="0">
      <text>
        <r>
          <t>Costo ponderado: valor actual de lotes / stock actual. Importes estimados; ajustes usan costos de sus lotes.</t>
        </r>
      </text>
    </comment>
    <comment ref="E4" authorId="0">
      <text>
        <r>
          <t>Única columna editable. Vacío = omitir; 0 = sin existencias. Unidades base; hasta 3 decimales.</t>
        </r>
      </text>
    </comment>
    <comment ref="J4" authorId="0">
      <text>
        <r>
          <t>Costo ponderado: valor actual de lotes / stock actual. Importes estimados; ajustes usan costos de sus lotes.</t>
        </r>
      </text>
    </comment>
    <comment ref="E5" authorId="0">
      <text>
        <r>
          <t>Única columna editable. Vacío = omitir; 0 = sin existencias. Unidades base; hasta 3 decimales.</t>
        </r>
      </text>
    </comment>
    <comment ref="J5" authorId="0">
      <text>
        <r>
          <t>Costo ponderado: valor actual de lotes / stock actual. Importes estimados; ajustes usan costos de sus lotes.</t>
        </r>
      </text>
    </comment>
  </commentList>
</comments>
</file>

<file path=xl/sharedStrings.xml><?xml version="1.0" encoding="utf-8"?>
<sst xmlns="http://schemas.openxmlformats.org/spreadsheetml/2006/main" count="58" uniqueCount="57">
  <si>
    <t>Código interno</t>
  </si>
  <si>
    <t>Código de barras</t>
  </si>
  <si>
    <t>Producto</t>
  </si>
  <si>
    <t>Stock del sistema</t>
  </si>
  <si>
    <t>Stock físico</t>
  </si>
  <si>
    <t>Falta</t>
  </si>
  <si>
    <t>Sobra</t>
  </si>
  <si>
    <t>Precio falta</t>
  </si>
  <si>
    <t>Precio sobra</t>
  </si>
  <si>
    <t>Costo</t>
  </si>
  <si>
    <t>Precio venta</t>
  </si>
  <si>
    <t>Valorizado</t>
  </si>
  <si>
    <t>P000004</t>
  </si>
  <si>
    <t>5454544545</t>
  </si>
  <si>
    <t>ABRILAR JARABE 120ML</t>
  </si>
  <si>
    <t>P000001</t>
  </si>
  <si>
    <t>465456465454</t>
  </si>
  <si>
    <t>APRONAX 550MG</t>
  </si>
  <si>
    <t>P000003</t>
  </si>
  <si>
    <t>LIMONADA AMRKOS 200ML</t>
  </si>
  <si>
    <t>P000002</t>
  </si>
  <si>
    <t>4104480705175</t>
  </si>
  <si>
    <t>PARACETAMOL 500MG PORTUGAL</t>
  </si>
  <si>
    <t>Formato</t>
  </si>
  <si>
    <t>EDUXFAC_CONTEO_V1</t>
  </si>
  <si>
    <t>Sucursal ID</t>
  </si>
  <si>
    <t>11b36867-46b5-40a1-9d0a-8a773b318d8d</t>
  </si>
  <si>
    <t>Sucursal</t>
  </si>
  <si>
    <t>PRINCIPAL</t>
  </si>
  <si>
    <t>Generado</t>
  </si>
  <si>
    <t>Instrucciones</t>
  </si>
  <si>
    <t>Modifique únicamente E: Stock físico. Vacío = omitir; cero = sin existencias. Cantidades en unidades base, hasta 3 decimales.</t>
  </si>
  <si>
    <t>Validación</t>
  </si>
  <si>
    <t>Si el stock del sistema cambió, descargue un nuevo conteo. No mezcle sucursales.</t>
  </si>
  <si>
    <t>Faltantes</t>
  </si>
  <si>
    <t>Se descuentan de los lotes reales más antiguos; después, del stock sin lote o automático heredado, sin saldos negativos.</t>
  </si>
  <si>
    <t>Sobrantes</t>
  </si>
  <si>
    <t>Se agregan al último lote real de esta sucursal. Si no existe, se registran como stock sin lote, sin número ni vencimiento.</t>
  </si>
  <si>
    <t>Columnas informativas</t>
  </si>
  <si>
    <t>A–D, J (Costo) y K (Precio venta): datos del sistema, no se importan como costos ni precios.</t>
  </si>
  <si>
    <t>Columnas automáticas</t>
  </si>
  <si>
    <t>F: Falta; G: Sobra; H: Precio falta; I: Precio sobra; L: Valorizado. Excel recalcula; no digite estas columnas.</t>
  </si>
  <si>
    <t>Falta / Sobra</t>
  </si>
  <si>
    <t>MAX(Stock sistema - Stock físico, 0) / MAX(Stock físico - Stock sistema, 0). Sin Stock físico, permanecen vacías.</t>
  </si>
  <si>
    <t>Importes</t>
  </si>
  <si>
    <t>Precio falta = Falta × Costo; Precio sobra = Sobra × Costo; Valorizado = Stock físico × Costo. Redondeo monetario: 2 decimales.</t>
  </si>
  <si>
    <t>Costo con varios lotes</t>
  </si>
  <si>
    <t>Costo ponderado del stock actual: suma(stock de lote × costo de lote) / stock total. No es promedio simple.</t>
  </si>
  <si>
    <t>Sin stock positivo</t>
  </si>
  <si>
    <t>Se informa el costo verificable del lote destino que seleccionaría la regla vigente de sobrantes. Si no existe costo verificable, J e importes quedan vacíos.</t>
  </si>
  <si>
    <t>Costo no verificable</t>
  </si>
  <si>
    <t>J vacío resaltado: revisar el costo en el sistema. No se inventan costos ni se recuperan automáticamente costos históricos para exportar.</t>
  </si>
  <si>
    <t>Estimación</t>
  </si>
  <si>
    <t>H, I y L son estimaciones con un costo único. La valorización real del ajuste depende de los lotes asignados; el conteo conserva sus reglas vigentes.</t>
  </si>
  <si>
    <t>Precio vigente por unidad en la sucursal; en su defecto, precio general vigente del producto. K es informativo.</t>
  </si>
  <si>
    <t>Protección</t>
  </si>
  <si>
    <t>E es la única columna desbloqueada. Aunque se altere J o K, la importación ignora esos valores y utiliza los datos de la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</si>
</sst>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&quot;S/ &quot; #,##0.00"/>
    <numFmt numFmtId="166" formatCode="&quot;S/ &quot; #,##0.00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0B376D"/>
      </patternFill>
    </fill>
    <fill>
      <patternFill patternType="solid">
        <fgColor rgb="FF92600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166" fontId="1" fillId="2" borderId="0" xfId="0" applyNumberFormat="1" applyFont="1" applyFill="1" applyAlignment="1">
      <alignment vertical="center" wrapText="1"/>
    </xf>
    <xf numFmtId="164" fontId="0" fillId="4" borderId="0" xfId="0" applyNumberFormat="1" applyFill="1" applyProtection="1">
      <protection locked="0"/>
    </xf>
    <xf numFmtId="164" fontId="0" fillId="0" borderId="0" xfId="0" applyNumberFormat="1" applyProtection="1"/>
    <xf numFmtId="165" fontId="0" fillId="0" borderId="0" xfId="0" applyNumberFormat="1" applyProtection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2">
    <dxf>
      <font>
        <color rgb="FF9C5700"/>
      </font>
      <fill>
        <patternFill patternType="solid">
          <bgColor rgb="FFFFE4CC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style="1" customWidth="1"/>
    <col min="2" max="2" width="24" style="1" customWidth="1"/>
    <col min="3" max="3" width="48" customWidth="1"/>
    <col min="4" max="5" width="20" style="2" customWidth="1"/>
    <col min="6" max="7" width="14" style="2" customWidth="1"/>
    <col min="8" max="9" width="20" style="3" customWidth="1"/>
    <col min="10" max="10" width="20" style="4" customWidth="1"/>
    <col min="11" max="11" width="20" style="3" customWidth="1"/>
    <col min="12" max="12" width="22" style="3" customWidth="1"/>
  </cols>
  <sheetData>
    <row r="1" ht="32" customHeight="1" spans="1:12" x14ac:dyDescent="0.25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9" t="s">
        <v>7</v>
      </c>
      <c r="I1" s="9" t="s">
        <v>8</v>
      </c>
      <c r="J1" s="10" t="s">
        <v>9</v>
      </c>
      <c r="K1" s="9" t="s">
        <v>10</v>
      </c>
      <c r="L1" s="9" t="s">
        <v>11</v>
      </c>
    </row>
    <row r="2" spans="1:12" x14ac:dyDescent="0.25">
      <c r="A2" s="1" t="s">
        <v>12</v>
      </c>
      <c r="B2" s="1" t="s">
        <v>13</v>
      </c>
      <c r="C2" t="s">
        <v>14</v>
      </c>
      <c r="D2" s="2">
        <v>11</v>
      </c>
      <c r="E2" s="11"/>
      <c r="F2" s="12" t="str">
        <f>IF(E2="","",ROUND(MAX(D2-E2,0),3))</f>
        <v/>
      </c>
      <c r="G2" s="12" t="str">
        <f>IF(E2="","",ROUND(MAX(E2-D2,0),3))</f>
        <v/>
      </c>
      <c r="H2" s="13" t="str">
        <f>IF(OR(E2="",NOT(ISNUMBER(J2))),"",ROUND(F2*J2,2))</f>
        <v/>
      </c>
      <c r="I2" s="13" t="str">
        <f>IF(OR(E2="",NOT(ISNUMBER(J2))),"",ROUND(G2*J2,2))</f>
        <v/>
      </c>
      <c r="J2" s="4">
        <v>15</v>
      </c>
      <c r="K2" s="3">
        <v>25</v>
      </c>
      <c r="L2" s="13" t="str">
        <f>IF(OR(E2="",NOT(ISNUMBER(J2))),"",ROUND(E2*J2,2))</f>
        <v/>
      </c>
    </row>
    <row r="3" spans="1:12" x14ac:dyDescent="0.25">
      <c r="A3" s="1" t="s">
        <v>15</v>
      </c>
      <c r="B3" s="1" t="s">
        <v>16</v>
      </c>
      <c r="C3" t="s">
        <v>17</v>
      </c>
      <c r="D3" s="2">
        <v>120</v>
      </c>
      <c r="E3" s="11"/>
      <c r="F3" s="12" t="str">
        <f>IF(E3="","",ROUND(MAX(D3-E3,0),3))</f>
        <v/>
      </c>
      <c r="G3" s="12" t="str">
        <f>IF(E3="","",ROUND(MAX(E3-D3,0),3))</f>
        <v/>
      </c>
      <c r="H3" s="13" t="str">
        <f>IF(OR(E3="",NOT(ISNUMBER(J3))),"",ROUND(F3*J3,2))</f>
        <v/>
      </c>
      <c r="I3" s="13" t="str">
        <f>IF(OR(E3="",NOT(ISNUMBER(J3))),"",ROUND(G3*J3,2))</f>
        <v/>
      </c>
      <c r="J3" s="4">
        <v>1.57</v>
      </c>
      <c r="K3" s="3">
        <v>1.9</v>
      </c>
      <c r="L3" s="13" t="str">
        <f>IF(OR(E3="",NOT(ISNUMBER(J3))),"",ROUND(E3*J3,2))</f>
        <v/>
      </c>
    </row>
    <row r="4" spans="1:12" x14ac:dyDescent="0.25">
      <c r="A4" s="1" t="s">
        <v>18</v>
      </c>
      <c r="B4" s="1"/>
      <c r="C4" t="s">
        <v>19</v>
      </c>
      <c r="D4" s="2">
        <v>9</v>
      </c>
      <c r="E4" s="11"/>
      <c r="F4" s="12" t="str">
        <f>IF(E4="","",ROUND(MAX(D4-E4,0),3))</f>
        <v/>
      </c>
      <c r="G4" s="12" t="str">
        <f>IF(E4="","",ROUND(MAX(E4-D4,0),3))</f>
        <v/>
      </c>
      <c r="H4" s="13" t="str">
        <f>IF(OR(E4="",NOT(ISNUMBER(J4))),"",ROUND(F4*J4,2))</f>
        <v/>
      </c>
      <c r="I4" s="13" t="str">
        <f>IF(OR(E4="",NOT(ISNUMBER(J4))),"",ROUND(G4*J4,2))</f>
        <v/>
      </c>
      <c r="J4" s="4">
        <v>8</v>
      </c>
      <c r="K4" s="3">
        <v>12.9</v>
      </c>
      <c r="L4" s="13" t="str">
        <f>IF(OR(E4="",NOT(ISNUMBER(J4))),"",ROUND(E4*J4,2))</f>
        <v/>
      </c>
    </row>
    <row r="5" spans="1:12" x14ac:dyDescent="0.25">
      <c r="A5" s="1" t="s">
        <v>20</v>
      </c>
      <c r="B5" s="1" t="s">
        <v>21</v>
      </c>
      <c r="C5" t="s">
        <v>22</v>
      </c>
      <c r="D5" s="2">
        <v>280</v>
      </c>
      <c r="E5" s="11"/>
      <c r="F5" s="12" t="str">
        <f>IF(E5="","",ROUND(MAX(D5-E5,0),3))</f>
        <v/>
      </c>
      <c r="G5" s="12" t="str">
        <f>IF(E5="","",ROUND(MAX(E5-D5,0),3))</f>
        <v/>
      </c>
      <c r="H5" s="13" t="str">
        <f>IF(OR(E5="",NOT(ISNUMBER(J5))),"",ROUND(F5*J5,2))</f>
        <v/>
      </c>
      <c r="I5" s="13" t="str">
        <f>IF(OR(E5="",NOT(ISNUMBER(J5))),"",ROUND(G5*J5,2))</f>
        <v/>
      </c>
      <c r="J5" s="4">
        <v>0.08</v>
      </c>
      <c r="K5" s="3">
        <v>0.5</v>
      </c>
      <c r="L5" s="13" t="str">
        <f>IF(OR(E5="",NOT(ISNUMBER(J5))),"",ROUND(E5*J5,2))</f>
        <v/>
      </c>
    </row>
  </sheetData>
  <sheetProtection sheet="1" autoFilter="0" algorithmName="SHA-512" hashValue="F35kxDaJaNEAbhBfGXszCuzN66FBXyIn4jTS7qI/DTP4ygqtDqqRtOcxAx6WB47qfZg32Fof7PdKst5laEL9gg==" saltValue="mFQ7G6jfTlFH0jlLjxLTXA==" spinCount="100000"/>
  <autoFilter ref="A1:L1"/>
  <conditionalFormatting sqref="F2:F5">
    <cfRule type="cellIs" dxfId="0" priority="1" operator="greaterThan">
      <formula>0</formula>
    </cfRule>
  </conditionalFormatting>
  <conditionalFormatting sqref="G2:G5">
    <cfRule type="cellIs" dxfId="1" priority="2" operator="greaterThan">
      <formula>0</formula>
    </cfRule>
  </conditionalFormatting>
  <dataValidations count="1">
    <dataValidation type="decimal" operator="greaterThanOrEqual" allowBlank="1" showErrorMessage="1" errorTitle="Stock físico" error="Ingrese una cantidad mayor o igual a cero (hasta 3 decimales)." sqref="E2:E5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5" customWidth="1"/>
    <col min="2" max="2" width="115" style="14" customWidth="1"/>
  </cols>
  <sheetData>
    <row r="1" spans="1:2" x14ac:dyDescent="0.25">
      <c r="A1" t="s">
        <v>23</v>
      </c>
      <c r="B1" s="14" t="s">
        <v>24</v>
      </c>
    </row>
    <row r="2" spans="1:2" x14ac:dyDescent="0.25">
      <c r="A2" t="s">
        <v>25</v>
      </c>
      <c r="B2" s="14" t="s">
        <v>26</v>
      </c>
    </row>
    <row r="3" spans="1:2" x14ac:dyDescent="0.25">
      <c r="A3" t="s">
        <v>27</v>
      </c>
      <c r="B3" s="14" t="s">
        <v>28</v>
      </c>
    </row>
    <row r="4" spans="1:2" x14ac:dyDescent="0.25">
      <c r="A4" t="s">
        <v>29</v>
      </c>
      <c r="B4" s="15">
        <v>46309.929106006944</v>
      </c>
    </row>
    <row r="5" ht="32" customHeight="1" spans="1:2" x14ac:dyDescent="0.25">
      <c r="A5" t="s">
        <v>30</v>
      </c>
      <c r="B5" s="14" t="s">
        <v>31</v>
      </c>
    </row>
    <row r="6" ht="32" customHeight="1" spans="1:2" x14ac:dyDescent="0.25">
      <c r="A6" t="s">
        <v>32</v>
      </c>
      <c r="B6" s="14" t="s">
        <v>33</v>
      </c>
    </row>
    <row r="7" ht="32" customHeight="1" spans="1:2" x14ac:dyDescent="0.25">
      <c r="A7" t="s">
        <v>34</v>
      </c>
      <c r="B7" s="14" t="s">
        <v>35</v>
      </c>
    </row>
    <row r="8" ht="32" customHeight="1" spans="1:2" x14ac:dyDescent="0.25">
      <c r="A8" t="s">
        <v>36</v>
      </c>
      <c r="B8" s="14" t="s">
        <v>37</v>
      </c>
    </row>
    <row r="9" ht="32" customHeight="1" spans="1:2" x14ac:dyDescent="0.25">
      <c r="A9" t="s">
        <v>38</v>
      </c>
      <c r="B9" s="14" t="s">
        <v>39</v>
      </c>
    </row>
    <row r="10" ht="32" customHeight="1" spans="1:2" x14ac:dyDescent="0.25">
      <c r="A10" t="s">
        <v>40</v>
      </c>
      <c r="B10" s="14" t="s">
        <v>41</v>
      </c>
    </row>
    <row r="11" ht="32" customHeight="1" spans="1:2" x14ac:dyDescent="0.25">
      <c r="A11" t="s">
        <v>42</v>
      </c>
      <c r="B11" s="14" t="s">
        <v>43</v>
      </c>
    </row>
    <row r="12" ht="32" customHeight="1" spans="1:2" x14ac:dyDescent="0.25">
      <c r="A12" t="s">
        <v>44</v>
      </c>
      <c r="B12" s="14" t="s">
        <v>45</v>
      </c>
    </row>
    <row r="13" ht="32" customHeight="1" spans="1:2" x14ac:dyDescent="0.25">
      <c r="A13" t="s">
        <v>46</v>
      </c>
      <c r="B13" s="14" t="s">
        <v>47</v>
      </c>
    </row>
    <row r="14" ht="32" customHeight="1" spans="1:2" x14ac:dyDescent="0.25">
      <c r="A14" t="s">
        <v>48</v>
      </c>
      <c r="B14" s="14" t="s">
        <v>49</v>
      </c>
    </row>
    <row r="15" ht="32" customHeight="1" spans="1:2" x14ac:dyDescent="0.25">
      <c r="A15" t="s">
        <v>50</v>
      </c>
      <c r="B15" s="14" t="s">
        <v>51</v>
      </c>
    </row>
    <row r="16" ht="32" customHeight="1" spans="1:2" x14ac:dyDescent="0.25">
      <c r="A16" t="s">
        <v>52</v>
      </c>
      <c r="B16" s="14" t="s">
        <v>53</v>
      </c>
    </row>
    <row r="17" ht="32" customHeight="1" spans="1:2" x14ac:dyDescent="0.25">
      <c r="A17" t="s">
        <v>10</v>
      </c>
      <c r="B17" s="14" t="s">
        <v>54</v>
      </c>
    </row>
    <row r="18" ht="32" customHeight="1" spans="1:2" x14ac:dyDescent="0.25">
      <c r="A18" t="s">
        <v>55</v>
      </c>
      <c r="B18" s="1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Conteo físico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EDUXFAC</dc:creator>
  <dc:title/>
  <dc:subject/>
  <dc:description/>
  <cp:keywords/>
  <cp:category/>
  <cp:lastModifiedBy>Unknown</cp:lastModifiedBy>
  <dcterms:created xsi:type="dcterms:W3CDTF">2026-10-14T22:17:54Z</dcterms:created>
  <dcterms:modified xsi:type="dcterms:W3CDTF">2026-10-14T22:17:54Z</dcterms:modified>
</cp:coreProperties>
</file>